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Architecture" sheetId="1" state="visible" r:id="rId1"/>
    <sheet xmlns:r="http://schemas.openxmlformats.org/officeDocument/2006/relationships"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2"/>
    </font>
    <font>
      <b val="1"/>
    </font>
    <font>
      <color rgb="00000000"/>
    </font>
    <font>
      <b val="1"/>
      <sz val="11"/>
    </font>
    <font>
      <b val="1"/>
      <color rgb="00D9770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7C3AED"/>
        <bgColor rgb="007C3AED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/>
    </xf>
    <xf numFmtId="0" fontId="4" fillId="6" borderId="0" pivotButton="0" quotePrefix="0" xfId="0"/>
    <xf numFmtId="0" fontId="5" fillId="0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8" fillId="8" borderId="0" pivotButton="0" quotePrefix="0" xfId="0"/>
    <xf numFmtId="0" fontId="2" fillId="8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 ht="25" customHeight="1">
      <c r="A1" s="1" t="inlineStr">
        <is>
          <t>BitwiseLearn V2 – Azure Architecture Components &amp; Sizing</t>
        </is>
      </c>
    </row>
    <row r="3" ht="30" customHeight="1">
      <c r="A3" s="2" t="inlineStr">
        <is>
          <t>Component</t>
        </is>
      </c>
      <c r="B3" s="2" t="inlineStr">
        <is>
          <t>Service Type</t>
        </is>
      </c>
      <c r="C3" s="2" t="inlineStr">
        <is>
          <t>150 Users</t>
        </is>
      </c>
      <c r="D3" s="2" t="inlineStr">
        <is>
          <t>1K Users</t>
        </is>
      </c>
      <c r="E3" s="2" t="inlineStr">
        <is>
          <t>10K Users</t>
        </is>
      </c>
      <c r="F3" s="2" t="inlineStr">
        <is>
          <t>100K Users</t>
        </is>
      </c>
      <c r="G3" s="2" t="inlineStr">
        <is>
          <t>Scaling Strategy</t>
        </is>
      </c>
      <c r="H3" s="2" t="inlineStr">
        <is>
          <t>HA/DR</t>
        </is>
      </c>
    </row>
    <row r="4">
      <c r="A4" s="3" t="inlineStr">
        <is>
          <t>Azure Front Door</t>
        </is>
      </c>
      <c r="B4" s="3" t="inlineStr">
        <is>
          <t>Edge/Routing</t>
        </is>
      </c>
      <c r="C4" s="3" t="inlineStr">
        <is>
          <t>1 instance</t>
        </is>
      </c>
      <c r="D4" s="3" t="inlineStr">
        <is>
          <t>1 instance</t>
        </is>
      </c>
      <c r="E4" s="3" t="inlineStr">
        <is>
          <t>1 instance</t>
        </is>
      </c>
      <c r="F4" s="3" t="inlineStr">
        <is>
          <t>1 instance</t>
        </is>
      </c>
      <c r="G4" s="3" t="inlineStr">
        <is>
          <t>Global routing</t>
        </is>
      </c>
      <c r="H4" s="3" t="inlineStr">
        <is>
          <t>Global failover</t>
        </is>
      </c>
    </row>
    <row r="5">
      <c r="A5" s="4" t="inlineStr">
        <is>
          <t>Azure CDN</t>
        </is>
      </c>
      <c r="B5" s="4" t="inlineStr">
        <is>
          <t>Content Delivery</t>
        </is>
      </c>
      <c r="C5" s="4" t="inlineStr">
        <is>
          <t>5 edge nodes</t>
        </is>
      </c>
      <c r="D5" s="4" t="inlineStr">
        <is>
          <t>20 edge nodes</t>
        </is>
      </c>
      <c r="E5" s="4" t="inlineStr">
        <is>
          <t>50+ edge nodes</t>
        </is>
      </c>
      <c r="F5" s="4" t="inlineStr">
        <is>
          <t>100+ edge nodes</t>
        </is>
      </c>
      <c r="G5" s="4" t="inlineStr">
        <is>
          <t>Auto-scaling</t>
        </is>
      </c>
      <c r="H5" s="4" t="inlineStr">
        <is>
          <t>Multi-region</t>
        </is>
      </c>
    </row>
    <row r="6">
      <c r="A6" s="3" t="inlineStr">
        <is>
          <t>Azure WAF</t>
        </is>
      </c>
      <c r="B6" s="3" t="inlineStr">
        <is>
          <t>Security</t>
        </is>
      </c>
      <c r="C6" s="3" t="inlineStr">
        <is>
          <t>Standard tier</t>
        </is>
      </c>
      <c r="D6" s="3" t="inlineStr">
        <is>
          <t>Premium tier</t>
        </is>
      </c>
      <c r="E6" s="3" t="inlineStr">
        <is>
          <t>Premium tier</t>
        </is>
      </c>
      <c r="F6" s="3" t="inlineStr">
        <is>
          <t>Premium tier</t>
        </is>
      </c>
      <c r="G6" s="3" t="inlineStr">
        <is>
          <t>Manual to auto-scale</t>
        </is>
      </c>
      <c r="H6" s="3" t="inlineStr">
        <is>
          <t>Redundant</t>
        </is>
      </c>
    </row>
    <row r="7">
      <c r="A7" s="4" t="inlineStr">
        <is>
          <t>API Management</t>
        </is>
      </c>
      <c r="B7" s="4" t="inlineStr">
        <is>
          <t>API Gateway</t>
        </is>
      </c>
      <c r="C7" s="4" t="inlineStr">
        <is>
          <t>Dev tier</t>
        </is>
      </c>
      <c r="D7" s="4" t="inlineStr">
        <is>
          <t>Standard tier</t>
        </is>
      </c>
      <c r="E7" s="4" t="inlineStr">
        <is>
          <t>Premium tier</t>
        </is>
      </c>
      <c r="F7" s="4" t="inlineStr">
        <is>
          <t>Premium tier (multi-region)</t>
        </is>
      </c>
      <c r="G7" s="4" t="inlineStr">
        <is>
          <t>Tier upgrade</t>
        </is>
      </c>
      <c r="H7" s="4" t="inlineStr">
        <is>
          <t>Multi-region</t>
        </is>
      </c>
    </row>
    <row r="8">
      <c r="A8" s="3" t="inlineStr">
        <is>
          <t>Application Gateway</t>
        </is>
      </c>
      <c r="B8" s="3" t="inlineStr">
        <is>
          <t>L7 Load Balancer</t>
        </is>
      </c>
      <c r="C8" s="3" t="inlineStr">
        <is>
          <t>1 unit</t>
        </is>
      </c>
      <c r="D8" s="3" t="inlineStr">
        <is>
          <t>2 units</t>
        </is>
      </c>
      <c r="E8" s="3" t="inlineStr">
        <is>
          <t>5 units</t>
        </is>
      </c>
      <c r="F8" s="3" t="inlineStr">
        <is>
          <t>10 units</t>
        </is>
      </c>
      <c r="G8" s="3" t="inlineStr">
        <is>
          <t>Manual scaling</t>
        </is>
      </c>
      <c r="H8" s="3" t="inlineStr">
        <is>
          <t>Multi-AZ</t>
        </is>
      </c>
    </row>
    <row r="9">
      <c r="A9" s="4" t="inlineStr">
        <is>
          <t>AKS Cluster</t>
        </is>
      </c>
      <c r="B9" s="4" t="inlineStr">
        <is>
          <t>Container Orchestration</t>
        </is>
      </c>
      <c r="C9" s="4" t="inlineStr">
        <is>
          <t>1-2 nodes (B2s)</t>
        </is>
      </c>
      <c r="D9" s="4" t="inlineStr">
        <is>
          <t>5-8 nodes (D4s)</t>
        </is>
      </c>
      <c r="E9" s="4" t="inlineStr">
        <is>
          <t>20-30 nodes (D8s)</t>
        </is>
      </c>
      <c r="F9" s="4" t="inlineStr">
        <is>
          <t>50-100 nodes (E16s)</t>
        </is>
      </c>
      <c r="G9" s="4" t="inlineStr">
        <is>
          <t>HPA + KEDA</t>
        </is>
      </c>
      <c r="H9" s="4" t="inlineStr">
        <is>
          <t>Multi-AZ</t>
        </is>
      </c>
    </row>
    <row r="10">
      <c r="A10" s="3" t="inlineStr">
        <is>
          <t>Compiler Nodes</t>
        </is>
      </c>
      <c r="B10" s="3" t="inlineStr">
        <is>
          <t>Specialized Compute</t>
        </is>
      </c>
      <c r="C10" s="3" t="inlineStr">
        <is>
          <t>2-5 pods</t>
        </is>
      </c>
      <c r="D10" s="3" t="inlineStr">
        <is>
          <t>10-20 pods</t>
        </is>
      </c>
      <c r="E10" s="3" t="inlineStr">
        <is>
          <t>50-100 pods</t>
        </is>
      </c>
      <c r="F10" s="3" t="inlineStr">
        <is>
          <t>200-500 pods</t>
        </is>
      </c>
      <c r="G10" s="3" t="inlineStr">
        <is>
          <t>KEDA autoscaling</t>
        </is>
      </c>
      <c r="H10" s="3" t="inlineStr">
        <is>
          <t>Distributed</t>
        </is>
      </c>
    </row>
    <row r="11">
      <c r="A11" s="4" t="inlineStr">
        <is>
          <t>PostgreSQL Flexible</t>
        </is>
      </c>
      <c r="B11" s="4" t="inlineStr">
        <is>
          <t>Relational DB</t>
        </is>
      </c>
      <c r="C11" s="4" t="inlineStr">
        <is>
          <t>2vCore burstable</t>
        </is>
      </c>
      <c r="D11" s="4" t="inlineStr">
        <is>
          <t>4vCore general</t>
        </is>
      </c>
      <c r="E11" s="4" t="inlineStr">
        <is>
          <t>16vCore memory-opt</t>
        </is>
      </c>
      <c r="F11" s="4" t="inlineStr">
        <is>
          <t>32vCore memory-opt</t>
        </is>
      </c>
      <c r="G11" s="4" t="inlineStr">
        <is>
          <t>Scale-up</t>
        </is>
      </c>
      <c r="H11" s="4" t="inlineStr">
        <is>
          <t>Read replicas</t>
        </is>
      </c>
    </row>
    <row r="12">
      <c r="A12" s="3" t="inlineStr">
        <is>
          <t>MongoDB/CosmosDB</t>
        </is>
      </c>
      <c r="B12" s="3" t="inlineStr">
        <is>
          <t>NoSQL</t>
        </is>
      </c>
      <c r="C12" s="3" t="inlineStr">
        <is>
          <t>400 RU/s</t>
        </is>
      </c>
      <c r="D12" s="3" t="inlineStr">
        <is>
          <t>1000 RU/s</t>
        </is>
      </c>
      <c r="E12" s="3" t="inlineStr">
        <is>
          <t>5000 RU/s</t>
        </is>
      </c>
      <c r="F12" s="3" t="inlineStr">
        <is>
          <t>20000 RU/s</t>
        </is>
      </c>
      <c r="G12" s="3" t="inlineStr">
        <is>
          <t>Autoscale RU</t>
        </is>
      </c>
      <c r="H12" s="3" t="inlineStr">
        <is>
          <t>Geo-replicated</t>
        </is>
      </c>
    </row>
    <row r="13">
      <c r="A13" s="4" t="inlineStr">
        <is>
          <t>Redis Cache</t>
        </is>
      </c>
      <c r="B13" s="4" t="inlineStr">
        <is>
          <t>In-Memory Cache</t>
        </is>
      </c>
      <c r="C13" s="4" t="inlineStr">
        <is>
          <t>C1 (1GB)</t>
        </is>
      </c>
      <c r="D13" s="4" t="inlineStr">
        <is>
          <t>C3 (3GB)</t>
        </is>
      </c>
      <c r="E13" s="4" t="inlineStr">
        <is>
          <t>C6 (6GB)</t>
        </is>
      </c>
      <c r="F13" s="4" t="inlineStr">
        <is>
          <t>P5 (26GB)</t>
        </is>
      </c>
      <c r="G13" s="4" t="inlineStr">
        <is>
          <t>Tier upgrade</t>
        </is>
      </c>
      <c r="H13" s="4" t="inlineStr">
        <is>
          <t>Zone-redundant HA</t>
        </is>
      </c>
    </row>
    <row r="14">
      <c r="A14" s="3" t="inlineStr">
        <is>
          <t>Blob Storage</t>
        </is>
      </c>
      <c r="B14" s="3" t="inlineStr">
        <is>
          <t>Object Storage</t>
        </is>
      </c>
      <c r="C14" s="3" t="inlineStr">
        <is>
          <t>100GB</t>
        </is>
      </c>
      <c r="D14" s="3" t="inlineStr">
        <is>
          <t>5TB</t>
        </is>
      </c>
      <c r="E14" s="3" t="inlineStr">
        <is>
          <t>50TB</t>
        </is>
      </c>
      <c r="F14" s="3" t="inlineStr">
        <is>
          <t>500TB</t>
        </is>
      </c>
      <c r="G14" s="3" t="inlineStr">
        <is>
          <t>Auto-scaling</t>
        </is>
      </c>
      <c r="H14" s="3" t="inlineStr">
        <is>
          <t>GRS (Geo-redundant)</t>
        </is>
      </c>
    </row>
    <row r="15">
      <c r="A15" s="4" t="inlineStr">
        <is>
          <t>Key Vault</t>
        </is>
      </c>
      <c r="B15" s="4" t="inlineStr">
        <is>
          <t>Secrets Management</t>
        </is>
      </c>
      <c r="C15" s="4" t="inlineStr">
        <is>
          <t>1 vault</t>
        </is>
      </c>
      <c r="D15" s="4" t="inlineStr">
        <is>
          <t>1 vault</t>
        </is>
      </c>
      <c r="E15" s="4" t="inlineStr">
        <is>
          <t>1 vault</t>
        </is>
      </c>
      <c r="F15" s="4" t="inlineStr">
        <is>
          <t>2 vaults (regions)</t>
        </is>
      </c>
      <c r="G15" s="4" t="inlineStr">
        <is>
          <t>Software → Premium HSM</t>
        </is>
      </c>
      <c r="H15" s="4" t="inlineStr">
        <is>
          <t>Multi-region</t>
        </is>
      </c>
    </row>
    <row r="16">
      <c r="A16" s="3" t="inlineStr">
        <is>
          <t>Azure Monitor</t>
        </is>
      </c>
      <c r="B16" s="3" t="inlineStr">
        <is>
          <t>Monitoring</t>
        </is>
      </c>
      <c r="C16" s="3" t="inlineStr">
        <is>
          <t>Basic metrics</t>
        </is>
      </c>
      <c r="D16" s="3" t="inlineStr">
        <is>
          <t>Standard + Analytics</t>
        </is>
      </c>
      <c r="E16" s="3" t="inlineStr">
        <is>
          <t>Premium Analytics</t>
        </is>
      </c>
      <c r="F16" s="3" t="inlineStr">
        <is>
          <t>Enterprise Analytics</t>
        </is>
      </c>
      <c r="G16" s="3" t="inlineStr">
        <is>
          <t>Log ingestion scaling</t>
        </is>
      </c>
      <c r="H16" s="3" t="inlineStr">
        <is>
          <t>Multi-region</t>
        </is>
      </c>
    </row>
    <row r="17">
      <c r="A17" s="4" t="inlineStr">
        <is>
          <t>Service Bus/Kafka</t>
        </is>
      </c>
      <c r="B17" s="4" t="inlineStr">
        <is>
          <t>Message Queue</t>
        </is>
      </c>
      <c r="C17" s="4" t="inlineStr">
        <is>
          <t>Basic tier</t>
        </is>
      </c>
      <c r="D17" s="4" t="inlineStr">
        <is>
          <t>Standard tier</t>
        </is>
      </c>
      <c r="E17" s="4" t="inlineStr">
        <is>
          <t>Premium tier</t>
        </is>
      </c>
      <c r="F17" s="4" t="inlineStr">
        <is>
          <t>Premium multi-region</t>
        </is>
      </c>
      <c r="G17" s="4" t="inlineStr">
        <is>
          <t>Tier upgrade</t>
        </is>
      </c>
      <c r="H17" s="4" t="inlineStr">
        <is>
          <t>Zone-redundant</t>
        </is>
      </c>
    </row>
    <row r="18">
      <c r="A18" s="3" t="inlineStr">
        <is>
          <t>Azure Backup</t>
        </is>
      </c>
      <c r="B18" s="3" t="inlineStr">
        <is>
          <t>Backup Service</t>
        </is>
      </c>
      <c r="C18" s="3" t="inlineStr">
        <is>
          <t>Standard</t>
        </is>
      </c>
      <c r="D18" s="3" t="inlineStr">
        <is>
          <t>Standard</t>
        </is>
      </c>
      <c r="E18" s="3" t="inlineStr">
        <is>
          <t>Premium</t>
        </is>
      </c>
      <c r="F18" s="3" t="inlineStr">
        <is>
          <t>Premium</t>
        </is>
      </c>
      <c r="G18" s="3" t="inlineStr">
        <is>
          <t>Auto-scaling</t>
        </is>
      </c>
      <c r="H18" s="3" t="inlineStr">
        <is>
          <t>Geo-redundant</t>
        </is>
      </c>
    </row>
    <row r="21" ht="22" customHeight="1">
      <c r="A21" s="5" t="inlineStr">
        <is>
          <t>Cost Estimation (Monthly USD)</t>
        </is>
      </c>
    </row>
    <row r="22">
      <c r="A22" s="6" t="inlineStr">
        <is>
          <t>Component</t>
        </is>
      </c>
      <c r="B22" s="6" t="inlineStr">
        <is>
          <t>Unit Cost</t>
        </is>
      </c>
      <c r="C22" s="6" t="inlineStr">
        <is>
          <t>150 Users</t>
        </is>
      </c>
      <c r="D22" s="6" t="inlineStr">
        <is>
          <t>1K Users</t>
        </is>
      </c>
      <c r="E22" s="6" t="inlineStr">
        <is>
          <t>10K Users</t>
        </is>
      </c>
      <c r="F22" s="6" t="inlineStr">
        <is>
          <t>100K Users</t>
        </is>
      </c>
      <c r="G22" s="6" t="inlineStr">
        <is>
          <t>Notes</t>
        </is>
      </c>
      <c r="H22" s="6" t="inlineStr"/>
    </row>
    <row r="23">
      <c r="A23" t="inlineStr">
        <is>
          <t>Front Door</t>
        </is>
      </c>
      <c r="B23" t="inlineStr">
        <is>
          <t>$5</t>
        </is>
      </c>
      <c r="C23" s="7">
        <f>5</f>
        <v/>
      </c>
      <c r="D23" s="7">
        <f>5</f>
        <v/>
      </c>
      <c r="E23" s="7">
        <f>5</f>
        <v/>
      </c>
      <c r="F23" s="7">
        <f>5</f>
        <v/>
      </c>
      <c r="G23" t="inlineStr">
        <is>
          <t>Fixed global routing</t>
        </is>
      </c>
      <c r="H23" t="inlineStr"/>
    </row>
    <row r="24">
      <c r="A24" t="inlineStr">
        <is>
          <t>CDN</t>
        </is>
      </c>
      <c r="B24" t="inlineStr">
        <is>
          <t>$0.085/GB</t>
        </is>
      </c>
      <c r="C24" s="7">
        <f>50*0.085</f>
        <v/>
      </c>
      <c r="D24" s="7">
        <f>200*0.085</f>
        <v/>
      </c>
      <c r="E24" s="7">
        <f>1000*0.085</f>
        <v/>
      </c>
      <c r="F24" s="7">
        <f>5000*0.085</f>
        <v/>
      </c>
      <c r="G24" t="inlineStr">
        <is>
          <t>Estimated egress</t>
        </is>
      </c>
      <c r="H24" t="inlineStr"/>
    </row>
    <row r="25">
      <c r="A25" t="inlineStr">
        <is>
          <t>AKS Compute</t>
        </is>
      </c>
      <c r="B25" t="inlineStr">
        <is>
          <t>$0.40/hr/core</t>
        </is>
      </c>
      <c r="C25" s="7">
        <f>(2*4)*0.40*730</f>
        <v/>
      </c>
      <c r="D25" s="7">
        <f>(8*4)*0.40*730</f>
        <v/>
      </c>
      <c r="E25" s="7">
        <f>(30*4)*0.40*730</f>
        <v/>
      </c>
      <c r="F25" s="7">
        <f>(100*8)*0.40*730</f>
        <v/>
      </c>
      <c r="G25" t="inlineStr">
        <is>
          <t>Node hour estimates</t>
        </is>
      </c>
      <c r="H25" t="inlineStr"/>
    </row>
    <row r="26">
      <c r="A26" t="inlineStr">
        <is>
          <t>PostgreSQL</t>
        </is>
      </c>
      <c r="B26" t="inlineStr">
        <is>
          <t>$0.15/hour</t>
        </is>
      </c>
      <c r="C26" s="7">
        <f>2*0.15*730</f>
        <v/>
      </c>
      <c r="D26" s="7">
        <f>4*0.15*730</f>
        <v/>
      </c>
      <c r="E26" s="7">
        <f>16*0.15*730</f>
        <v/>
      </c>
      <c r="F26" s="7">
        <f>32*0.15*730</f>
        <v/>
      </c>
      <c r="G26" t="inlineStr">
        <is>
          <t>vCore-hour pricing</t>
        </is>
      </c>
      <c r="H26" t="inlineStr"/>
    </row>
    <row r="27">
      <c r="A27" t="inlineStr">
        <is>
          <t>MongoDB/CosmosDB</t>
        </is>
      </c>
      <c r="B27" t="inlineStr">
        <is>
          <t>$1/100RU/s/hr</t>
        </is>
      </c>
      <c r="C27" s="7">
        <f>(400/100)*1*730</f>
        <v/>
      </c>
      <c r="D27" s="7">
        <f>(1000/100)*1*730</f>
        <v/>
      </c>
      <c r="E27" s="7">
        <f>(5000/100)*1*730</f>
        <v/>
      </c>
      <c r="F27" s="7">
        <f>(20000/100)*1*730</f>
        <v/>
      </c>
      <c r="G27" t="inlineStr">
        <is>
          <t>RU/s hourly</t>
        </is>
      </c>
      <c r="H27" t="inlineStr"/>
    </row>
    <row r="28">
      <c r="A28" t="inlineStr">
        <is>
          <t>Redis</t>
        </is>
      </c>
      <c r="B28" t="inlineStr">
        <is>
          <t>$0.05/hour/GB</t>
        </is>
      </c>
      <c r="C28" s="7">
        <f>1*0.05*730</f>
        <v/>
      </c>
      <c r="D28" s="7">
        <f>3*0.05*730</f>
        <v/>
      </c>
      <c r="E28" s="7">
        <f>6*0.05*730</f>
        <v/>
      </c>
      <c r="F28" s="7">
        <f>26*0.05*730</f>
        <v/>
      </c>
      <c r="G28" t="inlineStr">
        <is>
          <t>Cache instance</t>
        </is>
      </c>
      <c r="H28" t="inlineStr"/>
    </row>
    <row r="29">
      <c r="A29" t="inlineStr">
        <is>
          <t>Blob Storage</t>
        </is>
      </c>
      <c r="B29" t="inlineStr">
        <is>
          <t>$0.018/GB</t>
        </is>
      </c>
      <c r="C29" s="7">
        <f>(100*0.018)</f>
        <v/>
      </c>
      <c r="D29" s="7">
        <f>(5000*0.018)</f>
        <v/>
      </c>
      <c r="E29" s="7">
        <f>(50000*0.018)</f>
        <v/>
      </c>
      <c r="F29" s="7">
        <f>(500000*0.018)</f>
        <v/>
      </c>
      <c r="G29" t="inlineStr">
        <is>
          <t>Storage cost</t>
        </is>
      </c>
      <c r="H29" t="inlineStr"/>
    </row>
    <row r="30">
      <c r="A30" t="inlineStr">
        <is>
          <t>Monitoring/Logs</t>
        </is>
      </c>
      <c r="B30" t="inlineStr">
        <is>
          <t>$2.76/GB ingested</t>
        </is>
      </c>
      <c r="C30" s="7">
        <f>10*2.76</f>
        <v/>
      </c>
      <c r="D30" s="7">
        <f>50*2.76</f>
        <v/>
      </c>
      <c r="E30" s="7">
        <f>200*2.76</f>
        <v/>
      </c>
      <c r="F30" s="7">
        <f>1000*2.76</f>
        <v/>
      </c>
      <c r="G30" t="inlineStr">
        <is>
          <t>GB/day estimate</t>
        </is>
      </c>
      <c r="H30" t="inlineStr"/>
    </row>
    <row r="31">
      <c r="A31" t="inlineStr">
        <is>
          <t>Backup</t>
        </is>
      </c>
      <c r="B31" t="inlineStr">
        <is>
          <t>$0.05/GB/month</t>
        </is>
      </c>
      <c r="C31" s="7">
        <f>(100*0.05)</f>
        <v/>
      </c>
      <c r="D31" s="7">
        <f>(5000*0.05)</f>
        <v/>
      </c>
      <c r="E31" s="7">
        <f>(50000*0.05)</f>
        <v/>
      </c>
      <c r="F31" s="7">
        <f>(500000*0.05)</f>
        <v/>
      </c>
      <c r="G31" t="inlineStr">
        <is>
          <t>Monthly backup</t>
        </is>
      </c>
      <c r="H31" t="inlineStr"/>
    </row>
    <row r="32">
      <c r="A32" s="8" t="inlineStr">
        <is>
          <t>Total Monthly Cloud Cost</t>
        </is>
      </c>
      <c r="C32" s="9">
        <f>SUM(C24:C31)</f>
        <v/>
      </c>
      <c r="D32" s="9">
        <f>SUM(D24:D31)</f>
        <v/>
      </c>
      <c r="E32" s="9">
        <f>SUM(E24:E31)</f>
        <v/>
      </c>
      <c r="F32" s="9">
        <f>SUM(F24:F31)</f>
        <v/>
      </c>
    </row>
    <row r="34">
      <c r="A34" s="10" t="inlineStr">
        <is>
          <t>Revenue Target (3X Cloud Cost)</t>
        </is>
      </c>
      <c r="C34" s="11">
        <f>C32*3</f>
        <v/>
      </c>
      <c r="D34" s="11">
        <f>D32*3</f>
        <v/>
      </c>
      <c r="E34" s="11">
        <f>E32*3</f>
        <v/>
      </c>
      <c r="F34" s="11">
        <f>F32*3</f>
        <v/>
      </c>
    </row>
  </sheetData>
  <mergeCells count="2">
    <mergeCell ref="A21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12" t="inlineStr">
        <is>
          <t>BitwiseLearn V2 – Performance &amp; SLA Metrics</t>
        </is>
      </c>
    </row>
    <row r="3">
      <c r="A3" s="13" t="inlineStr">
        <is>
          <t>Metric</t>
        </is>
      </c>
      <c r="B3" s="13" t="inlineStr">
        <is>
          <t>150 Users</t>
        </is>
      </c>
      <c r="C3" s="13" t="inlineStr">
        <is>
          <t>1K Users</t>
        </is>
      </c>
      <c r="D3" s="13" t="inlineStr">
        <is>
          <t>10K Users</t>
        </is>
      </c>
      <c r="E3" s="13" t="inlineStr">
        <is>
          <t>100K Users</t>
        </is>
      </c>
      <c r="F3" s="13" t="inlineStr">
        <is>
          <t>Target</t>
        </is>
      </c>
      <c r="G3" s="13" t="inlineStr">
        <is>
          <t>Notes</t>
        </is>
      </c>
    </row>
    <row r="4">
      <c r="A4" s="14" t="inlineStr">
        <is>
          <t>API Response Time (P95)</t>
        </is>
      </c>
      <c r="B4" s="14" t="inlineStr">
        <is>
          <t>&lt;100ms</t>
        </is>
      </c>
      <c r="C4" s="14" t="inlineStr">
        <is>
          <t>&lt;150ms</t>
        </is>
      </c>
      <c r="D4" s="14" t="inlineStr">
        <is>
          <t>&lt;200ms</t>
        </is>
      </c>
      <c r="E4" s="14" t="inlineStr">
        <is>
          <t>&lt;300ms</t>
        </is>
      </c>
      <c r="F4" s="14" t="inlineStr">
        <is>
          <t>&lt;300ms</t>
        </is>
      </c>
      <c r="G4" s="14" t="inlineStr">
        <is>
          <t>Including network latency</t>
        </is>
      </c>
    </row>
    <row r="5">
      <c r="A5" t="inlineStr">
        <is>
          <t>Database Query Time (P95)</t>
        </is>
      </c>
      <c r="B5" t="inlineStr">
        <is>
          <t>&lt;50ms</t>
        </is>
      </c>
      <c r="C5" t="inlineStr">
        <is>
          <t>&lt;75ms</t>
        </is>
      </c>
      <c r="D5" t="inlineStr">
        <is>
          <t>&lt;100ms</t>
        </is>
      </c>
      <c r="E5" t="inlineStr">
        <is>
          <t>&lt;150ms</t>
        </is>
      </c>
      <c r="F5" t="inlineStr">
        <is>
          <t>&lt;200ms</t>
        </is>
      </c>
      <c r="G5" t="inlineStr">
        <is>
          <t>Without network</t>
        </is>
      </c>
    </row>
    <row r="6">
      <c r="A6" s="14" t="inlineStr">
        <is>
          <t>Compiler Execution (avg)</t>
        </is>
      </c>
      <c r="B6" s="14" t="inlineStr">
        <is>
          <t>&lt;5s</t>
        </is>
      </c>
      <c r="C6" s="14" t="inlineStr">
        <is>
          <t>&lt;5s</t>
        </is>
      </c>
      <c r="D6" s="14" t="inlineStr">
        <is>
          <t>&lt;5s</t>
        </is>
      </c>
      <c r="E6" s="14" t="inlineStr">
        <is>
          <t>&lt;8s</t>
        </is>
      </c>
      <c r="F6" s="14" t="inlineStr">
        <is>
          <t>&lt;10s</t>
        </is>
      </c>
      <c r="G6" s="14" t="inlineStr">
        <is>
          <t>Code execution time</t>
        </is>
      </c>
    </row>
    <row r="7">
      <c r="A7" t="inlineStr">
        <is>
          <t>Availability (Monthly)</t>
        </is>
      </c>
      <c r="B7" t="inlineStr">
        <is>
          <t>99.5%</t>
        </is>
      </c>
      <c r="C7" t="inlineStr">
        <is>
          <t>99.8%</t>
        </is>
      </c>
      <c r="D7" t="inlineStr">
        <is>
          <t>99.9%</t>
        </is>
      </c>
      <c r="E7" t="inlineStr">
        <is>
          <t>99.95%</t>
        </is>
      </c>
      <c r="F7" t="inlineStr">
        <is>
          <t>&gt;99.9%</t>
        </is>
      </c>
      <c r="G7" t="inlineStr">
        <is>
          <t>Uptime guarantee</t>
        </is>
      </c>
    </row>
    <row r="8">
      <c r="A8" s="14" t="inlineStr">
        <is>
          <t>RTO (Recovery Time)</t>
        </is>
      </c>
      <c r="B8" s="14" t="inlineStr">
        <is>
          <t>&lt;4h</t>
        </is>
      </c>
      <c r="C8" s="14" t="inlineStr">
        <is>
          <t>&lt;2h</t>
        </is>
      </c>
      <c r="D8" s="14" t="inlineStr">
        <is>
          <t>&lt;30min</t>
        </is>
      </c>
      <c r="E8" s="14" t="inlineStr">
        <is>
          <t>&lt;15min</t>
        </is>
      </c>
      <c r="F8" s="14" t="inlineStr">
        <is>
          <t>Per SLA</t>
        </is>
      </c>
      <c r="G8" s="14" t="inlineStr">
        <is>
          <t>Recovery objective</t>
        </is>
      </c>
    </row>
    <row r="9">
      <c r="A9" t="inlineStr">
        <is>
          <t>RPO (Recovery Point)</t>
        </is>
      </c>
      <c r="B9" t="inlineStr">
        <is>
          <t>&lt;1h</t>
        </is>
      </c>
      <c r="C9" t="inlineStr">
        <is>
          <t>&lt;30min</t>
        </is>
      </c>
      <c r="D9" t="inlineStr">
        <is>
          <t>&lt;15min</t>
        </is>
      </c>
      <c r="E9" t="inlineStr">
        <is>
          <t>&lt;5min</t>
        </is>
      </c>
      <c r="F9" t="inlineStr">
        <is>
          <t>Per SLA</t>
        </is>
      </c>
      <c r="G9" t="inlineStr">
        <is>
          <t>Data loss window</t>
        </is>
      </c>
    </row>
    <row r="10">
      <c r="A10" s="14" t="inlineStr">
        <is>
          <t>Cache Hit Rate</t>
        </is>
      </c>
      <c r="B10" s="14" t="inlineStr">
        <is>
          <t>70%</t>
        </is>
      </c>
      <c r="C10" s="14" t="inlineStr">
        <is>
          <t>75%</t>
        </is>
      </c>
      <c r="D10" s="14" t="inlineStr">
        <is>
          <t>80%</t>
        </is>
      </c>
      <c r="E10" s="14" t="inlineStr">
        <is>
          <t>85%</t>
        </is>
      </c>
      <c r="F10" s="14" t="inlineStr">
        <is>
          <t>&gt;80%</t>
        </is>
      </c>
      <c r="G10" s="14" t="inlineStr">
        <is>
          <t>Redis cache effectiveness</t>
        </is>
      </c>
    </row>
    <row r="11">
      <c r="A11" t="inlineStr">
        <is>
          <t>Database Connection Pool Size</t>
        </is>
      </c>
      <c r="B11" t="inlineStr">
        <is>
          <t>20</t>
        </is>
      </c>
      <c r="C11" t="inlineStr">
        <is>
          <t>50</t>
        </is>
      </c>
      <c r="D11" t="inlineStr">
        <is>
          <t>150</t>
        </is>
      </c>
      <c r="E11" t="inlineStr">
        <is>
          <t>500</t>
        </is>
      </c>
      <c r="F11" t="inlineStr">
        <is>
          <t>Dynamic</t>
        </is>
      </c>
      <c r="G11" t="inlineStr">
        <is>
          <t>Per service instance</t>
        </is>
      </c>
    </row>
    <row r="12">
      <c r="A12" s="14" t="inlineStr">
        <is>
          <t>AKS Node CPU Utilization</t>
        </is>
      </c>
      <c r="B12" s="14" t="inlineStr">
        <is>
          <t>30-40%</t>
        </is>
      </c>
      <c r="C12" s="14" t="inlineStr">
        <is>
          <t>40-50%</t>
        </is>
      </c>
      <c r="D12" s="14" t="inlineStr">
        <is>
          <t>50-60%</t>
        </is>
      </c>
      <c r="E12" s="14" t="inlineStr">
        <is>
          <t>60-70%</t>
        </is>
      </c>
      <c r="F12" s="14" t="inlineStr">
        <is>
          <t>&lt;80%</t>
        </is>
      </c>
      <c r="G12" s="14" t="inlineStr">
        <is>
          <t>Headroom for spikes</t>
        </is>
      </c>
    </row>
    <row r="13">
      <c r="A13" t="inlineStr">
        <is>
          <t>AKS Node Memory Utilization</t>
        </is>
      </c>
      <c r="B13" t="inlineStr">
        <is>
          <t>25-35%</t>
        </is>
      </c>
      <c r="C13" t="inlineStr">
        <is>
          <t>35-45%</t>
        </is>
      </c>
      <c r="D13" t="inlineStr">
        <is>
          <t>45-55%</t>
        </is>
      </c>
      <c r="E13" t="inlineStr">
        <is>
          <t>55-65%</t>
        </is>
      </c>
      <c r="F13" t="inlineStr">
        <is>
          <t>&lt;80%</t>
        </is>
      </c>
      <c r="G13" t="inlineStr">
        <is>
          <t>Reserved capacity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2026-06-10T19:44:48Z</dcterms:created>
  <dcterms:modified xmlns:dcterms="http://purl.org/dc/terms/" xmlns:xsi="http://www.w3.org/2001/XMLSchema-instance" xsi:type="dcterms:W3CDTF">2026-06-10T19:44:48Z</dcterms:modified>
</cp:coreProperties>
</file>